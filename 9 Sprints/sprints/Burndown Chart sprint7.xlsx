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uments\Semester5\Software Project Management\9 Sprints\sprints\"/>
    </mc:Choice>
  </mc:AlternateContent>
  <xr:revisionPtr revIDLastSave="0" documentId="13_ncr:1_{02B4744C-9D09-4C6D-AF9D-308377DBFB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Inputs" sheetId="1" r:id="rId1"/>
    <sheet name="Burndown 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6" i="1" l="1"/>
  <c r="I15" i="1"/>
  <c r="I14" i="1"/>
  <c r="G11" i="1"/>
  <c r="D11" i="1"/>
  <c r="E11" i="1" s="1"/>
</calcChain>
</file>

<file path=xl/sharedStrings.xml><?xml version="1.0" encoding="utf-8"?>
<sst xmlns="http://schemas.openxmlformats.org/spreadsheetml/2006/main" count="25" uniqueCount="19">
  <si>
    <t>BURN DOWN CHART</t>
  </si>
  <si>
    <t>Total Sprint Effort = 34 hours</t>
  </si>
  <si>
    <t>Starting Hours</t>
  </si>
  <si>
    <t>Day 1</t>
  </si>
  <si>
    <t>Day 2</t>
  </si>
  <si>
    <t>Day 3</t>
  </si>
  <si>
    <t>Day 4</t>
  </si>
  <si>
    <t>Day 5</t>
  </si>
  <si>
    <t>Actual Efforts ( Hours)</t>
  </si>
  <si>
    <t>Ideal Effort (Hours)</t>
  </si>
  <si>
    <t>Tasks</t>
  </si>
  <si>
    <t>Total</t>
  </si>
  <si>
    <t>Sprint 7 User Stories</t>
  </si>
  <si>
    <t>US-7.1 (13 hrs) – Expense Categorization AI</t>
  </si>
  <si>
    <t>US-7.2 (13 hrs) – Budget Prediction Baseline</t>
  </si>
  <si>
    <t>US-7.3 (8 hrs) – AI Integration Pipeline</t>
  </si>
  <si>
    <t>Expense Categorization Model</t>
  </si>
  <si>
    <t>Budget Prediction Baseline</t>
  </si>
  <si>
    <t>AI Integration 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</si>
</sst>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40"/>
      <color rgb="FF000000"/>
      <name val="Arial"/>
      <family val="2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20"/>
      <color rgb="FF000000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CFBF5"/>
        <bgColor rgb="FFFCFBF5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FCFBF5"/>
      </bottom>
      <diagonal/>
    </border>
    <border>
      <left/>
      <right/>
      <top/>
      <bottom style="medium">
        <color rgb="FFFCFBF5"/>
      </bottom>
      <diagonal/>
    </border>
    <border>
      <left/>
      <right/>
      <top/>
      <bottom style="medium">
        <color rgb="FFFCFBF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000000"/>
      </top>
      <bottom style="medium">
        <color rgb="FFA6A6A6"/>
      </bottom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 style="medium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A6A6A6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A6A6A6"/>
      </right>
      <top style="medium">
        <color rgb="FFA6A6A6"/>
      </top>
      <bottom style="thin">
        <color rgb="FFA6A6A6"/>
      </bottom>
      <diagonal/>
    </border>
    <border>
      <left/>
      <right/>
      <top style="medium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1" fillId="2" borderId="1" xfId="0" applyFont="1" applyFill="1" applyBorder="1" applyAlignment="1"/>
    <xf numFmtId="0" fontId="1" fillId="0" borderId="0" xfId="0" applyFont="1" applyAlignment="1"/>
    <xf numFmtId="0" fontId="1" fillId="2" borderId="14" xfId="0" applyFont="1" applyFill="1" applyBorder="1" applyAlignment="1"/>
    <xf numFmtId="0" fontId="8" fillId="4" borderId="17" xfId="0" applyFont="1" applyFill="1" applyBorder="1" applyAlignment="1">
      <alignment horizontal="center"/>
    </xf>
    <xf numFmtId="0" fontId="5" fillId="0" borderId="24" xfId="0" applyFont="1" applyBorder="1" applyAlignment="1"/>
    <xf numFmtId="0" fontId="8" fillId="4" borderId="16" xfId="0" applyFont="1" applyFill="1" applyBorder="1" applyAlignment="1">
      <alignment horizontal="center"/>
    </xf>
    <xf numFmtId="0" fontId="5" fillId="4" borderId="16" xfId="0" applyFont="1" applyFill="1" applyBorder="1" applyAlignment="1"/>
    <xf numFmtId="0" fontId="5" fillId="4" borderId="26" xfId="0" applyFont="1" applyFill="1" applyBorder="1" applyAlignment="1"/>
    <xf numFmtId="0" fontId="1" fillId="2" borderId="27" xfId="0" applyFont="1" applyFill="1" applyBorder="1" applyAlignment="1"/>
    <xf numFmtId="0" fontId="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7" fillId="2" borderId="1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7" fillId="2" borderId="1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left" vertical="center" wrapText="1"/>
    </xf>
    <xf numFmtId="0" fontId="5" fillId="4" borderId="16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595959"/>
                </a:solidFill>
                <a:latin typeface="Arial"/>
              </a:defRPr>
            </a:pPr>
            <a:r>
              <a:rPr lang="en-US" sz="1400" b="0" i="0">
                <a:solidFill>
                  <a:srgbClr val="595959"/>
                </a:solidFill>
                <a:latin typeface="Arial"/>
              </a:rPr>
              <a:t>Burndown Chart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Actual Effort</c:v>
          </c:tx>
          <c:spPr>
            <a:ln w="19050" cmpd="sng">
              <a:solidFill>
                <a:srgbClr val="F7964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'Project Inputs'!$C$9:$H$9</c:f>
              <c:strCache>
                <c:ptCount val="6"/>
                <c:pt idx="0">
                  <c:v>Starting Hours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</c:strCache>
            </c:strRef>
          </c:cat>
          <c:val>
            <c:numRef>
              <c:f>'Project Inputs'!$C$10:$H$10</c:f>
              <c:numCache>
                <c:formatCode>General</c:formatCode>
                <c:ptCount val="6"/>
                <c:pt idx="0">
                  <c:v>34</c:v>
                </c:pt>
                <c:pt idx="1">
                  <c:v>32</c:v>
                </c:pt>
                <c:pt idx="2">
                  <c:v>26</c:v>
                </c:pt>
                <c:pt idx="3">
                  <c:v>19</c:v>
                </c:pt>
                <c:pt idx="4">
                  <c:v>11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48-475F-9ED7-73EA075055A1}"/>
            </c:ext>
          </c:extLst>
        </c:ser>
        <c:ser>
          <c:idx val="1"/>
          <c:order val="1"/>
          <c:tx>
            <c:v>Ideal Effort</c:v>
          </c:tx>
          <c:spPr>
            <a:ln w="19050" cmpd="sng">
              <a:solidFill>
                <a:srgbClr val="4BACC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'Project Inputs'!$C$9:$H$9</c:f>
              <c:strCache>
                <c:ptCount val="6"/>
                <c:pt idx="0">
                  <c:v>Starting Hours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</c:strCache>
            </c:strRef>
          </c:cat>
          <c:val>
            <c:numRef>
              <c:f>'Project Inputs'!$C$11:$H$11</c:f>
              <c:numCache>
                <c:formatCode>General</c:formatCode>
                <c:ptCount val="6"/>
                <c:pt idx="0">
                  <c:v>34</c:v>
                </c:pt>
                <c:pt idx="1">
                  <c:v>27.2</c:v>
                </c:pt>
                <c:pt idx="2">
                  <c:v>20.399999999999999</c:v>
                </c:pt>
                <c:pt idx="3">
                  <c:v>14</c:v>
                </c:pt>
                <c:pt idx="4">
                  <c:v>7.2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48-475F-9ED7-73EA07505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5454981"/>
        <c:axId val="574425828"/>
      </c:lineChart>
      <c:catAx>
        <c:axId val="1495454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K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Arial"/>
              </a:defRPr>
            </a:pPr>
            <a:endParaRPr lang="en-PK"/>
          </a:p>
        </c:txPr>
        <c:crossAx val="574425828"/>
        <c:crosses val="autoZero"/>
        <c:auto val="1"/>
        <c:lblAlgn val="ctr"/>
        <c:lblOffset val="100"/>
        <c:noMultiLvlLbl val="1"/>
      </c:catAx>
      <c:valAx>
        <c:axId val="5744258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US" sz="1400" b="0" i="0">
                    <a:solidFill>
                      <a:srgbClr val="595959"/>
                    </a:solidFill>
                    <a:latin typeface="Arial"/>
                  </a:rPr>
                  <a:t>Effort (Hours)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rgbClr val="595959"/>
                </a:solidFill>
                <a:latin typeface="Arial"/>
              </a:defRPr>
            </a:pPr>
            <a:endParaRPr lang="en-PK"/>
          </a:p>
        </c:txPr>
        <c:crossAx val="1495454981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725900" cy="125158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" zoomScale="82" workbookViewId="0">
      <selection activeCell="N16" sqref="N16"/>
    </sheetView>
  </sheetViews>
  <sheetFormatPr defaultColWidth="14.44140625" defaultRowHeight="15" customHeight="1" x14ac:dyDescent="0.3"/>
  <cols>
    <col min="1" max="1" width="9" customWidth="1"/>
    <col min="2" max="2" width="26.5546875" customWidth="1"/>
    <col min="3" max="3" width="20.44140625" customWidth="1"/>
    <col min="4" max="9" width="12.6640625" customWidth="1"/>
    <col min="10" max="12" width="9" customWidth="1"/>
    <col min="13" max="26" width="8.6640625" customWidth="1"/>
  </cols>
  <sheetData>
    <row r="1" spans="1:26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9.8" x14ac:dyDescent="0.8">
      <c r="A2" s="1"/>
      <c r="B2" s="20" t="s">
        <v>0</v>
      </c>
      <c r="C2" s="21"/>
      <c r="D2" s="21"/>
      <c r="E2" s="21"/>
      <c r="F2" s="21"/>
      <c r="G2" s="21"/>
      <c r="H2" s="22"/>
      <c r="I2" s="10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.6" customHeight="1" x14ac:dyDescent="0.35">
      <c r="A3" s="1"/>
      <c r="B3" s="11" t="s">
        <v>12</v>
      </c>
      <c r="C3" s="12"/>
      <c r="D3" s="23"/>
      <c r="E3" s="24"/>
      <c r="F3" s="24"/>
      <c r="G3" s="24"/>
      <c r="H3" s="24"/>
      <c r="I3" s="25"/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.6" customHeight="1" x14ac:dyDescent="0.35">
      <c r="A4" s="1"/>
      <c r="B4" s="11" t="s">
        <v>13</v>
      </c>
      <c r="C4" s="12"/>
      <c r="D4" s="26"/>
      <c r="E4" s="21"/>
      <c r="F4" s="21"/>
      <c r="G4" s="21"/>
      <c r="H4" s="21"/>
      <c r="I4" s="22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" customHeight="1" x14ac:dyDescent="0.35">
      <c r="A5" s="1"/>
      <c r="B5" s="11" t="s">
        <v>14</v>
      </c>
      <c r="C5" s="13"/>
      <c r="D5" s="13"/>
      <c r="E5" s="13"/>
      <c r="F5" s="14"/>
      <c r="G5" s="14"/>
      <c r="H5" s="14"/>
      <c r="I5" s="14"/>
      <c r="J5" s="1"/>
      <c r="K5" s="1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.6" customHeight="1" x14ac:dyDescent="0.4">
      <c r="A6" s="1"/>
      <c r="B6" s="11" t="s">
        <v>15</v>
      </c>
      <c r="C6" s="15"/>
      <c r="D6" s="15"/>
      <c r="E6" s="15"/>
      <c r="F6" s="15"/>
      <c r="G6" s="15"/>
      <c r="H6" s="15"/>
      <c r="I6" s="16"/>
      <c r="J6" s="1"/>
      <c r="K6" s="1"/>
      <c r="L6" s="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1" customHeight="1" x14ac:dyDescent="0.4">
      <c r="A7" s="1"/>
      <c r="B7" s="11" t="s">
        <v>1</v>
      </c>
      <c r="C7" s="17"/>
      <c r="D7" s="17"/>
      <c r="E7" s="17"/>
      <c r="F7" s="17"/>
      <c r="G7" s="18"/>
      <c r="H7" s="18"/>
      <c r="I7" s="19"/>
      <c r="J7" s="1"/>
      <c r="K7" s="1"/>
      <c r="L7" s="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.6" customHeight="1" x14ac:dyDescent="0.35">
      <c r="A8" s="1"/>
      <c r="B8" s="11"/>
      <c r="C8" s="18"/>
      <c r="D8" s="18"/>
      <c r="E8" s="18"/>
      <c r="F8" s="18"/>
      <c r="G8" s="10"/>
      <c r="H8" s="18"/>
      <c r="I8" s="18"/>
      <c r="J8" s="1"/>
      <c r="K8" s="1"/>
      <c r="L8" s="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" customHeight="1" x14ac:dyDescent="0.3">
      <c r="A9" s="1"/>
      <c r="B9" s="27"/>
      <c r="C9" s="28" t="s">
        <v>2</v>
      </c>
      <c r="D9" s="28" t="s">
        <v>3</v>
      </c>
      <c r="E9" s="28" t="s">
        <v>4</v>
      </c>
      <c r="F9" s="28" t="s">
        <v>5</v>
      </c>
      <c r="G9" s="28" t="s">
        <v>6</v>
      </c>
      <c r="H9" s="28" t="s">
        <v>7</v>
      </c>
      <c r="I9" s="29"/>
      <c r="J9" s="1"/>
      <c r="K9" s="1"/>
      <c r="L9" s="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3"/>
      <c r="B10" s="27" t="s">
        <v>8</v>
      </c>
      <c r="C10" s="30">
        <v>34</v>
      </c>
      <c r="D10" s="30">
        <v>32</v>
      </c>
      <c r="E10" s="30">
        <v>26</v>
      </c>
      <c r="F10" s="30">
        <v>19</v>
      </c>
      <c r="G10" s="30">
        <v>11</v>
      </c>
      <c r="H10" s="30">
        <v>0</v>
      </c>
      <c r="I10" s="29"/>
      <c r="J10" s="1"/>
      <c r="K10" s="1"/>
      <c r="L10" s="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.2" customHeight="1" x14ac:dyDescent="0.3">
      <c r="A11" s="3"/>
      <c r="B11" s="31" t="s">
        <v>9</v>
      </c>
      <c r="C11" s="32">
        <v>34</v>
      </c>
      <c r="D11" s="32">
        <f t="shared" ref="D11:E11" si="0">C11-($C$11/5)</f>
        <v>27.2</v>
      </c>
      <c r="E11" s="32">
        <f t="shared" si="0"/>
        <v>20.399999999999999</v>
      </c>
      <c r="F11" s="32">
        <v>14</v>
      </c>
      <c r="G11" s="32">
        <f>F11-($C$11/5)</f>
        <v>7.2</v>
      </c>
      <c r="H11" s="32">
        <v>0</v>
      </c>
      <c r="I11" s="29"/>
      <c r="J11" s="1"/>
      <c r="K11" s="1"/>
      <c r="L11" s="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.8" hidden="1" customHeight="1" x14ac:dyDescent="0.3">
      <c r="A12" s="1"/>
      <c r="B12" s="33"/>
      <c r="C12" s="34"/>
      <c r="D12" s="34"/>
      <c r="E12" s="34"/>
      <c r="F12" s="34"/>
      <c r="G12" s="34"/>
      <c r="H12" s="34"/>
      <c r="I12" s="34"/>
      <c r="J12" s="1"/>
      <c r="K12" s="1"/>
      <c r="L12" s="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3">
      <c r="A13" s="1"/>
      <c r="B13" s="35" t="s">
        <v>10</v>
      </c>
      <c r="C13" s="36" t="s">
        <v>2</v>
      </c>
      <c r="D13" s="36" t="s">
        <v>3</v>
      </c>
      <c r="E13" s="36" t="s">
        <v>4</v>
      </c>
      <c r="F13" s="36" t="s">
        <v>5</v>
      </c>
      <c r="G13" s="36" t="s">
        <v>6</v>
      </c>
      <c r="H13" s="36" t="s">
        <v>7</v>
      </c>
      <c r="I13" s="36" t="s">
        <v>11</v>
      </c>
      <c r="J13" s="1"/>
      <c r="K13" s="1"/>
      <c r="L13" s="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3">
      <c r="A14" s="1"/>
      <c r="B14" s="45" t="s">
        <v>16</v>
      </c>
      <c r="C14" s="37">
        <v>13</v>
      </c>
      <c r="D14" s="38">
        <v>3</v>
      </c>
      <c r="E14" s="38">
        <v>4</v>
      </c>
      <c r="F14" s="38">
        <v>3</v>
      </c>
      <c r="G14" s="38">
        <v>2</v>
      </c>
      <c r="H14" s="38">
        <v>1</v>
      </c>
      <c r="I14" s="39">
        <f t="shared" ref="I14:I16" si="1">SUM(D14:H14)</f>
        <v>13</v>
      </c>
      <c r="J14" s="1"/>
      <c r="K14" s="1"/>
      <c r="L14" s="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 x14ac:dyDescent="0.3">
      <c r="A15" s="1"/>
      <c r="B15" s="46" t="s">
        <v>17</v>
      </c>
      <c r="C15" s="40">
        <v>13</v>
      </c>
      <c r="D15" s="41">
        <v>2</v>
      </c>
      <c r="E15" s="41">
        <v>4</v>
      </c>
      <c r="F15" s="41">
        <v>4</v>
      </c>
      <c r="G15" s="41">
        <v>2</v>
      </c>
      <c r="H15" s="41">
        <v>1</v>
      </c>
      <c r="I15" s="42">
        <f t="shared" si="1"/>
        <v>13</v>
      </c>
      <c r="J15" s="1"/>
      <c r="K15" s="1"/>
      <c r="L15" s="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3">
      <c r="A16" s="1"/>
      <c r="B16" s="47" t="s">
        <v>18</v>
      </c>
      <c r="C16" s="40">
        <v>8</v>
      </c>
      <c r="D16" s="41">
        <v>0</v>
      </c>
      <c r="E16" s="41">
        <v>2</v>
      </c>
      <c r="F16" s="41">
        <v>2</v>
      </c>
      <c r="G16" s="41">
        <v>2</v>
      </c>
      <c r="H16" s="41">
        <v>2</v>
      </c>
      <c r="I16" s="43">
        <f t="shared" si="1"/>
        <v>8</v>
      </c>
      <c r="J16" s="1"/>
      <c r="K16" s="1"/>
      <c r="L16" s="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3">
      <c r="A17" s="1"/>
      <c r="B17" s="44"/>
      <c r="C17" s="40"/>
      <c r="D17" s="41"/>
      <c r="E17" s="41"/>
      <c r="F17" s="41"/>
      <c r="G17" s="41"/>
      <c r="H17" s="41"/>
      <c r="I17" s="43"/>
      <c r="J17" s="1"/>
      <c r="K17" s="1"/>
      <c r="L17" s="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3">
      <c r="A18" s="1"/>
      <c r="B18" s="44"/>
      <c r="C18" s="40"/>
      <c r="D18" s="41"/>
      <c r="E18" s="41"/>
      <c r="F18" s="41"/>
      <c r="G18" s="41"/>
      <c r="H18" s="41"/>
      <c r="I18" s="43"/>
      <c r="J18" s="1"/>
      <c r="K18" s="1"/>
      <c r="L18" s="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3">
      <c r="A19" s="1"/>
      <c r="B19" s="44"/>
      <c r="C19" s="40"/>
      <c r="D19" s="41"/>
      <c r="E19" s="41"/>
      <c r="F19" s="41"/>
      <c r="G19" s="41"/>
      <c r="H19" s="41"/>
      <c r="I19" s="43"/>
      <c r="J19" s="1"/>
      <c r="K19" s="1"/>
      <c r="L19" s="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3">
      <c r="A20" s="1"/>
      <c r="B20" s="7"/>
      <c r="C20" s="6"/>
      <c r="D20" s="4"/>
      <c r="E20" s="4"/>
      <c r="F20" s="4"/>
      <c r="G20" s="4"/>
      <c r="H20" s="4"/>
      <c r="I20" s="5"/>
      <c r="J20" s="1"/>
      <c r="K20" s="1"/>
      <c r="L20" s="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3">
      <c r="A21" s="1"/>
      <c r="B21" s="8"/>
      <c r="C21" s="6"/>
      <c r="D21" s="4"/>
      <c r="E21" s="4"/>
      <c r="F21" s="4"/>
      <c r="G21" s="4"/>
      <c r="H21" s="4"/>
      <c r="I21" s="5"/>
      <c r="J21" s="1"/>
      <c r="K21" s="1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3">
      <c r="A22" s="1"/>
      <c r="B22" s="9"/>
      <c r="C22" s="1"/>
      <c r="D22" s="1"/>
      <c r="E22" s="1"/>
      <c r="F22" s="1"/>
      <c r="G22" s="1"/>
      <c r="H22" s="1"/>
      <c r="I22" s="1"/>
      <c r="J22" s="1"/>
      <c r="K22" s="1"/>
      <c r="L22" s="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1"/>
      <c r="K32" s="1"/>
      <c r="L32" s="1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1"/>
      <c r="K33" s="1"/>
      <c r="L33" s="1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1"/>
      <c r="K34" s="1"/>
      <c r="L34" s="1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1"/>
      <c r="K35" s="1"/>
      <c r="L35" s="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1"/>
      <c r="K36" s="1"/>
      <c r="L36" s="1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1"/>
      <c r="K37" s="1"/>
      <c r="L37" s="1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1"/>
      <c r="K38" s="1"/>
      <c r="L38" s="1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1"/>
      <c r="K39" s="1"/>
      <c r="L39" s="1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1"/>
      <c r="K40" s="1"/>
      <c r="L40" s="1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1"/>
      <c r="K41" s="1"/>
      <c r="L41" s="1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1"/>
      <c r="K42" s="1"/>
      <c r="L42" s="1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B2:H2"/>
    <mergeCell ref="D3:I3"/>
    <mergeCell ref="D4:I4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1000"/>
  <sheetViews>
    <sheetView zoomScale="31" workbookViewId="0"/>
  </sheetViews>
  <sheetFormatPr defaultColWidth="14.44140625" defaultRowHeight="15" customHeight="1" x14ac:dyDescent="0.3"/>
  <cols>
    <col min="1" max="6" width="8.5546875" customWidth="1"/>
    <col min="7" max="29" width="8.6640625" customWidth="1"/>
  </cols>
  <sheetData>
    <row r="1" ht="12.75" customHeight="1" x14ac:dyDescent="0.3"/>
    <row r="2" ht="12.75" customHeight="1" x14ac:dyDescent="0.3"/>
    <row r="3" ht="12.75" customHeight="1" x14ac:dyDescent="0.3"/>
    <row r="4" ht="12.75" customHeight="1" x14ac:dyDescent="0.3"/>
    <row r="5" ht="12.75" customHeight="1" x14ac:dyDescent="0.3"/>
    <row r="6" ht="12.75" customHeight="1" x14ac:dyDescent="0.3"/>
    <row r="7" ht="12.75" customHeight="1" x14ac:dyDescent="0.3"/>
    <row r="8" ht="12.75" customHeight="1" x14ac:dyDescent="0.3"/>
    <row r="9" ht="12.75" customHeight="1" x14ac:dyDescent="0.3"/>
    <row r="10" ht="12.75" customHeight="1" x14ac:dyDescent="0.3"/>
    <row r="11" ht="12.75" customHeight="1" x14ac:dyDescent="0.3"/>
    <row r="12" ht="12.75" customHeight="1" x14ac:dyDescent="0.3"/>
    <row r="13" ht="12.75" customHeight="1" x14ac:dyDescent="0.3"/>
    <row r="14" ht="12.75" customHeight="1" x14ac:dyDescent="0.3"/>
    <row r="15" ht="12.75" customHeight="1" x14ac:dyDescent="0.3"/>
    <row r="16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Inputs</vt:lpstr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Arshad Huzaifa</cp:lastModifiedBy>
  <dcterms:modified xsi:type="dcterms:W3CDTF">2025-12-15T20:16:21Z</dcterms:modified>
</cp:coreProperties>
</file>